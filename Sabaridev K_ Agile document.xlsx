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SABARI\Desktop\"/>
    </mc:Choice>
  </mc:AlternateContent>
  <xr:revisionPtr revIDLastSave="0" documentId="8_{BDB559B5-AF69-44C7-B46A-7F2F01CAF2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2" i="2" l="1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</calcChain>
</file>

<file path=xl/sharedStrings.xml><?xml version="1.0" encoding="utf-8"?>
<sst xmlns="http://schemas.openxmlformats.org/spreadsheetml/2006/main" count="236" uniqueCount="127">
  <si>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</si>
  <si>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</si>
  <si>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</si>
  <si>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</si>
  <si>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</si>
  <si>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</si>
  <si>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</si>
  <si>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</si>
  <si>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</si>
  <si>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</si>
  <si>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Setup Data Ingestion &amp; Preprocessing Pipeline (Clean Enron Data)</t>
  </si>
  <si>
    <t>MUST HAVE</t>
  </si>
  <si>
    <t>None</t>
  </si>
  <si>
    <t>Sabaridev K</t>
  </si>
  <si>
    <t>Completed</t>
  </si>
  <si>
    <t>S2</t>
  </si>
  <si>
    <t>US-002</t>
  </si>
  <si>
    <t>Design &amp; Deploy Neo4j Knowledge Graph (Nodes &amp; Edges)</t>
  </si>
  <si>
    <t>S3</t>
  </si>
  <si>
    <t>US-003</t>
  </si>
  <si>
    <t>Build Vector Store (Pinecone) &amp; Semantic Embeddings</t>
  </si>
  <si>
    <t>S4</t>
  </si>
  <si>
    <t>US-004</t>
  </si>
  <si>
    <t>Develop &amp; Deploy Interactive Streamlit Intelligence Dashboard</t>
  </si>
  <si>
    <t>US-002, US-003</t>
  </si>
  <si>
    <t>Task ID</t>
  </si>
  <si>
    <t>Task Description</t>
  </si>
  <si>
    <t>Start Date</t>
  </si>
  <si>
    <t>End Date</t>
  </si>
  <si>
    <t>Team Member</t>
  </si>
  <si>
    <t>Activity</t>
  </si>
  <si>
    <t>Estimate (Hrs)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</si>
  <si>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</si>
  <si>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</si>
  <si>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</si>
  <si>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</si>
  <si>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</si>
  <si>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</si>
  <si>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</si>
  <si>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</si>
  <si>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</si>
  <si>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</si>
  <si>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</si>
  <si>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</si>
  <si>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</si>
  <si>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</si>
  <si>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1: DATA PREPROCESSING</t>
  </si>
  <si>
    <t>T-001</t>
  </si>
  <si>
    <t>Load Enron dataset and parse JSON objects</t>
  </si>
  <si>
    <t>Dev</t>
  </si>
  <si>
    <t>Done</t>
  </si>
  <si>
    <t>T-002</t>
  </si>
  <si>
    <t>Clean data, handle NaNs, filter metadata</t>
  </si>
  <si>
    <t>T-003</t>
  </si>
  <si>
    <t>Export processed text to clean CSV</t>
  </si>
  <si>
    <t>SPRINT 1 Totals</t>
  </si>
  <si>
    <t>SPRINT 2: KNOWLEDGE GRAPH</t>
  </si>
  <si>
    <t>T-004</t>
  </si>
  <si>
    <t>Set up Neo4j AuraDB instance &amp; auth</t>
  </si>
  <si>
    <t>DBA</t>
  </si>
  <si>
    <t>T-005</t>
  </si>
  <si>
    <t>Write Cypher queries for Nodes/Edges</t>
  </si>
  <si>
    <t>T-006</t>
  </si>
  <si>
    <t>Batch upload processed CSV to Neo4j</t>
  </si>
  <si>
    <t>SPRINT 2 Totals</t>
  </si>
  <si>
    <t>SPRINT 3: VECTOR SEARCH</t>
  </si>
  <si>
    <t>T-007</t>
  </si>
  <si>
    <t>Initialize HuggingFace Embeddings</t>
  </si>
  <si>
    <t>AI</t>
  </si>
  <si>
    <t>T-008</t>
  </si>
  <si>
    <t>Configure Pinecone Index and Vector DB</t>
  </si>
  <si>
    <t>T-009</t>
  </si>
  <si>
    <t>Upsert vectors &amp; metadata to Pinecone</t>
  </si>
  <si>
    <t>SPRINT 3 Totals</t>
  </si>
  <si>
    <t>SPRINT 4: STREAMLIT DASHBOARD</t>
  </si>
  <si>
    <t>T-010</t>
  </si>
  <si>
    <t>Build LangChain Hybrid RAG Engine</t>
  </si>
  <si>
    <t>T-011</t>
  </si>
  <si>
    <t>Develop UI layout and Search Bar</t>
  </si>
  <si>
    <t>UI/UX</t>
  </si>
  <si>
    <t>T-012</t>
  </si>
  <si>
    <t>Render Plotly/NetworkX Graph &amp; KPIs</t>
  </si>
  <si>
    <t>T-013</t>
  </si>
  <si>
    <t>Cloud deployment and Security Vault</t>
  </si>
  <si>
    <t>DevOps</t>
  </si>
  <si>
    <t>SPRINT 4 Totals</t>
  </si>
  <si>
    <t>Sprint</t>
  </si>
  <si>
    <t>Day</t>
  </si>
  <si>
    <t>Impediments</t>
  </si>
  <si>
    <t>Action Taken</t>
  </si>
  <si>
    <t>JSON formats vary across files causing parsing errors.</t>
  </si>
  <si>
    <t>Wrote custom logic to handle nested dictionaries.</t>
  </si>
  <si>
    <t>Neo4j connection timing out during batch upload.</t>
  </si>
  <si>
    <t>Implemented UNWIND Cypher query to process 2000 records at a time.</t>
  </si>
  <si>
    <t>Pinecone rate limits hit during embedding upload.</t>
  </si>
  <si>
    <t>Added time.sleep() delays and batching to respect free tier limits.</t>
  </si>
  <si>
    <t>Streamlit UI resetting when a graph node is clicked.</t>
  </si>
  <si>
    <t>Managed state properly using st.session_state cache.</t>
  </si>
  <si>
    <t>SL #</t>
  </si>
  <si>
    <t>Sprint #</t>
  </si>
  <si>
    <t>Start Doing</t>
  </si>
  <si>
    <t>Stop Doing</t>
  </si>
  <si>
    <t>Continue Doing</t>
  </si>
  <si>
    <t>W1</t>
  </si>
  <si>
    <t>W2</t>
  </si>
  <si>
    <t>Validate data types before ingestion</t>
  </si>
  <si>
    <t>Assuming data is perfectly clean</t>
  </si>
  <si>
    <t>Writing modular Python scripts</t>
  </si>
  <si>
    <t>Added schema validation layer</t>
  </si>
  <si>
    <t>W3</t>
  </si>
  <si>
    <t>W4</t>
  </si>
  <si>
    <t>Test small graph sets before big loads</t>
  </si>
  <si>
    <t>Executing massive queries immediately</t>
  </si>
  <si>
    <t>Using Neo4j AuraDB browser for tests</t>
  </si>
  <si>
    <t>Created sample query test scripts</t>
  </si>
  <si>
    <t>W5</t>
  </si>
  <si>
    <t>W6</t>
  </si>
  <si>
    <t>Monitor vector dimensions strictly</t>
  </si>
  <si>
    <t>Exceeding API limits</t>
  </si>
  <si>
    <t>Utilizing SentenceTransformers</t>
  </si>
  <si>
    <t>Enforced 384-dimension constraints</t>
  </si>
  <si>
    <t>W7</t>
  </si>
  <si>
    <t>W8</t>
  </si>
  <si>
    <t>Secure secrets before deployment</t>
  </si>
  <si>
    <t>Hardcoding API keys</t>
  </si>
  <si>
    <t>Focusing on clean UX</t>
  </si>
  <si>
    <t>Migrated all keys to Streamlit Secrets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</si>
</sst>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C6D9F0"/>
        <bgColor rgb="FFC6D9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/>
    </xf>
    <xf numFmtId="0" fontId="0" fillId="5" borderId="1" xfId="0" applyFill="1" applyBorder="1"/>
    <xf numFmtId="0" fontId="3" fillId="4" borderId="1" xfId="0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2" sqref="H2"/>
    </sheetView>
  </sheetViews>
  <sheetFormatPr defaultRowHeight="14.4" x14ac:dyDescent="0.3"/>
  <cols>
    <col min="1" max="2" width="15" customWidth="1"/>
    <col min="3" max="3" width="10" customWidth="1"/>
    <col min="4" max="4" width="65" customWidth="1"/>
    <col min="5" max="5" width="15" customWidth="1"/>
    <col min="6" max="6" width="20" customWidth="1"/>
    <col min="7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spans="1:8" x14ac:dyDescent="0.3">
      <c r="A3" s="2" t="s">
        <v>15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9</v>
      </c>
      <c r="G3" s="2" t="s">
        <v>13</v>
      </c>
      <c r="H3" s="3" t="s">
        <v>14</v>
      </c>
    </row>
    <row r="4" spans="1:8" x14ac:dyDescent="0.3">
      <c r="A4" s="2" t="s">
        <v>18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9</v>
      </c>
      <c r="G4" s="2" t="s">
        <v>13</v>
      </c>
      <c r="H4" s="3" t="s">
        <v>14</v>
      </c>
    </row>
    <row r="5" spans="1:8" x14ac:dyDescent="0.3">
      <c r="A5" s="2" t="s">
        <v>21</v>
      </c>
      <c r="B5" s="2" t="s">
        <v>21</v>
      </c>
      <c r="C5" s="2" t="s">
        <v>22</v>
      </c>
      <c r="D5" s="2" t="s">
        <v>23</v>
      </c>
      <c r="E5" s="2" t="s">
        <v>11</v>
      </c>
      <c r="F5" s="2" t="s">
        <v>24</v>
      </c>
      <c r="G5" s="2" t="s">
        <v>13</v>
      </c>
      <c r="H5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2"/>
  <sheetViews>
    <sheetView workbookViewId="0">
      <selection sqref="A1:XFD1"/>
    </sheetView>
  </sheetViews>
  <sheetFormatPr defaultRowHeight="14.4" x14ac:dyDescent="0.3"/>
  <cols>
    <col min="1" max="2" width="10" customWidth="1"/>
    <col min="3" max="3" width="45" customWidth="1"/>
    <col min="4" max="5" width="10" customWidth="1"/>
    <col min="6" max="6" width="15" customWidth="1"/>
    <col min="7" max="7" width="12" customWidth="1"/>
    <col min="8" max="8" width="10" customWidth="1"/>
    <col min="9" max="23" width="6" customWidth="1"/>
  </cols>
  <sheetData>
    <row r="1" spans="1:23" ht="43.2" x14ac:dyDescent="0.3">
      <c r="A1" s="1" t="s">
        <v>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7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</row>
    <row r="2" spans="1:23" x14ac:dyDescent="0.3">
      <c r="A2" s="8" t="s">
        <v>46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x14ac:dyDescent="0.3">
      <c r="A3" s="2" t="s">
        <v>9</v>
      </c>
      <c r="B3" s="2" t="s">
        <v>47</v>
      </c>
      <c r="C3" s="2" t="s">
        <v>48</v>
      </c>
      <c r="D3" s="2" t="s">
        <v>32</v>
      </c>
      <c r="E3" s="2" t="s">
        <v>34</v>
      </c>
      <c r="F3" s="2" t="s">
        <v>13</v>
      </c>
      <c r="G3" s="2" t="s">
        <v>49</v>
      </c>
      <c r="H3" s="3" t="s">
        <v>50</v>
      </c>
      <c r="I3" s="4">
        <v>5</v>
      </c>
      <c r="J3" s="4">
        <v>5</v>
      </c>
      <c r="K3" s="4">
        <v>3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</row>
    <row r="4" spans="1:23" x14ac:dyDescent="0.3">
      <c r="A4" s="2" t="s">
        <v>9</v>
      </c>
      <c r="B4" s="2" t="s">
        <v>51</v>
      </c>
      <c r="C4" s="2" t="s">
        <v>52</v>
      </c>
      <c r="D4" s="2" t="s">
        <v>34</v>
      </c>
      <c r="E4" s="2" t="s">
        <v>37</v>
      </c>
      <c r="F4" s="2" t="s">
        <v>13</v>
      </c>
      <c r="G4" s="2" t="s">
        <v>49</v>
      </c>
      <c r="H4" s="3" t="s">
        <v>50</v>
      </c>
      <c r="I4" s="4">
        <v>6</v>
      </c>
      <c r="J4" s="4">
        <v>6</v>
      </c>
      <c r="K4" s="4">
        <v>6</v>
      </c>
      <c r="L4" s="4">
        <v>6</v>
      </c>
      <c r="M4" s="4">
        <v>3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</row>
    <row r="5" spans="1:23" x14ac:dyDescent="0.3">
      <c r="A5" s="2" t="s">
        <v>9</v>
      </c>
      <c r="B5" s="2" t="s">
        <v>53</v>
      </c>
      <c r="C5" s="2" t="s">
        <v>54</v>
      </c>
      <c r="D5" s="2" t="s">
        <v>37</v>
      </c>
      <c r="E5" s="2" t="s">
        <v>38</v>
      </c>
      <c r="F5" s="2" t="s">
        <v>13</v>
      </c>
      <c r="G5" s="2" t="s">
        <v>49</v>
      </c>
      <c r="H5" s="3" t="s">
        <v>50</v>
      </c>
      <c r="I5" s="4">
        <v>3</v>
      </c>
      <c r="J5" s="4">
        <v>3</v>
      </c>
      <c r="K5" s="4">
        <v>3</v>
      </c>
      <c r="L5" s="4">
        <v>3</v>
      </c>
      <c r="M5" s="4">
        <v>3</v>
      </c>
      <c r="N5" s="4">
        <v>3</v>
      </c>
      <c r="O5" s="4">
        <v>3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</row>
    <row r="6" spans="1:23" x14ac:dyDescent="0.3">
      <c r="A6" s="6" t="s">
        <v>55</v>
      </c>
      <c r="B6" s="7"/>
      <c r="C6" s="7"/>
      <c r="D6" s="7"/>
      <c r="E6" s="7"/>
      <c r="F6" s="7"/>
      <c r="G6" s="7"/>
      <c r="H6" s="7"/>
      <c r="I6" s="5">
        <f t="shared" ref="I6:W6" si="0">SUM(I3:I5)</f>
        <v>14</v>
      </c>
      <c r="J6" s="5">
        <f t="shared" si="0"/>
        <v>14</v>
      </c>
      <c r="K6" s="5">
        <f t="shared" si="0"/>
        <v>12</v>
      </c>
      <c r="L6" s="5">
        <f t="shared" si="0"/>
        <v>9</v>
      </c>
      <c r="M6" s="5">
        <f t="shared" si="0"/>
        <v>6</v>
      </c>
      <c r="N6" s="5">
        <f t="shared" si="0"/>
        <v>3</v>
      </c>
      <c r="O6" s="5">
        <f t="shared" si="0"/>
        <v>3</v>
      </c>
      <c r="P6" s="5">
        <f t="shared" si="0"/>
        <v>0</v>
      </c>
      <c r="Q6" s="5">
        <f t="shared" si="0"/>
        <v>0</v>
      </c>
      <c r="R6" s="5">
        <f t="shared" si="0"/>
        <v>0</v>
      </c>
      <c r="S6" s="5">
        <f t="shared" si="0"/>
        <v>0</v>
      </c>
      <c r="T6" s="5">
        <f t="shared" si="0"/>
        <v>0</v>
      </c>
      <c r="U6" s="5">
        <f t="shared" si="0"/>
        <v>0</v>
      </c>
      <c r="V6" s="5">
        <f t="shared" si="0"/>
        <v>0</v>
      </c>
      <c r="W6" s="5">
        <f t="shared" si="0"/>
        <v>0</v>
      </c>
    </row>
    <row r="7" spans="1:23" x14ac:dyDescent="0.3">
      <c r="A7" s="8" t="s">
        <v>56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x14ac:dyDescent="0.3">
      <c r="A8" s="2" t="s">
        <v>16</v>
      </c>
      <c r="B8" s="2" t="s">
        <v>57</v>
      </c>
      <c r="C8" s="2" t="s">
        <v>58</v>
      </c>
      <c r="D8" s="2" t="s">
        <v>32</v>
      </c>
      <c r="E8" s="2" t="s">
        <v>33</v>
      </c>
      <c r="F8" s="2" t="s">
        <v>13</v>
      </c>
      <c r="G8" s="2" t="s">
        <v>59</v>
      </c>
      <c r="H8" s="3" t="s">
        <v>50</v>
      </c>
      <c r="I8" s="4">
        <v>4</v>
      </c>
      <c r="J8" s="4">
        <v>4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pans="1:23" x14ac:dyDescent="0.3">
      <c r="A9" s="2" t="s">
        <v>16</v>
      </c>
      <c r="B9" s="2" t="s">
        <v>60</v>
      </c>
      <c r="C9" s="2" t="s">
        <v>61</v>
      </c>
      <c r="D9" s="2" t="s">
        <v>33</v>
      </c>
      <c r="E9" s="2" t="s">
        <v>36</v>
      </c>
      <c r="F9" s="2" t="s">
        <v>13</v>
      </c>
      <c r="G9" s="2" t="s">
        <v>49</v>
      </c>
      <c r="H9" s="3" t="s">
        <v>50</v>
      </c>
      <c r="I9" s="4">
        <v>8</v>
      </c>
      <c r="J9" s="4">
        <v>8</v>
      </c>
      <c r="K9" s="4">
        <v>8</v>
      </c>
      <c r="L9" s="4">
        <v>4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</row>
    <row r="10" spans="1:23" x14ac:dyDescent="0.3">
      <c r="A10" s="2" t="s">
        <v>16</v>
      </c>
      <c r="B10" s="2" t="s">
        <v>62</v>
      </c>
      <c r="C10" s="2" t="s">
        <v>63</v>
      </c>
      <c r="D10" s="2" t="s">
        <v>36</v>
      </c>
      <c r="E10" s="2" t="s">
        <v>38</v>
      </c>
      <c r="F10" s="2" t="s">
        <v>13</v>
      </c>
      <c r="G10" s="2" t="s">
        <v>49</v>
      </c>
      <c r="H10" s="3" t="s">
        <v>50</v>
      </c>
      <c r="I10" s="4">
        <v>5</v>
      </c>
      <c r="J10" s="4">
        <v>5</v>
      </c>
      <c r="K10" s="4">
        <v>5</v>
      </c>
      <c r="L10" s="4">
        <v>5</v>
      </c>
      <c r="M10" s="4">
        <v>5</v>
      </c>
      <c r="N10" s="4">
        <v>5</v>
      </c>
      <c r="O10" s="4">
        <v>2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</row>
    <row r="11" spans="1:23" x14ac:dyDescent="0.3">
      <c r="A11" s="6" t="s">
        <v>64</v>
      </c>
      <c r="B11" s="7"/>
      <c r="C11" s="7"/>
      <c r="D11" s="7"/>
      <c r="E11" s="7"/>
      <c r="F11" s="7"/>
      <c r="G11" s="7"/>
      <c r="H11" s="7"/>
      <c r="I11" s="5">
        <f t="shared" ref="I11:W11" si="1">SUM(I8:I10)</f>
        <v>17</v>
      </c>
      <c r="J11" s="5">
        <f t="shared" si="1"/>
        <v>17</v>
      </c>
      <c r="K11" s="5">
        <f t="shared" si="1"/>
        <v>13</v>
      </c>
      <c r="L11" s="5">
        <f t="shared" si="1"/>
        <v>9</v>
      </c>
      <c r="M11" s="5">
        <f t="shared" si="1"/>
        <v>5</v>
      </c>
      <c r="N11" s="5">
        <f t="shared" si="1"/>
        <v>5</v>
      </c>
      <c r="O11" s="5">
        <f t="shared" si="1"/>
        <v>2</v>
      </c>
      <c r="P11" s="5">
        <f t="shared" si="1"/>
        <v>0</v>
      </c>
      <c r="Q11" s="5">
        <f t="shared" si="1"/>
        <v>0</v>
      </c>
      <c r="R11" s="5">
        <f t="shared" si="1"/>
        <v>0</v>
      </c>
      <c r="S11" s="5">
        <f t="shared" si="1"/>
        <v>0</v>
      </c>
      <c r="T11" s="5">
        <f t="shared" si="1"/>
        <v>0</v>
      </c>
      <c r="U11" s="5">
        <f t="shared" si="1"/>
        <v>0</v>
      </c>
      <c r="V11" s="5">
        <f t="shared" si="1"/>
        <v>0</v>
      </c>
      <c r="W11" s="5">
        <f t="shared" si="1"/>
        <v>0</v>
      </c>
    </row>
    <row r="12" spans="1:23" x14ac:dyDescent="0.3">
      <c r="A12" s="8" t="s">
        <v>65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x14ac:dyDescent="0.3">
      <c r="A13" s="2" t="s">
        <v>19</v>
      </c>
      <c r="B13" s="2" t="s">
        <v>66</v>
      </c>
      <c r="C13" s="2" t="s">
        <v>67</v>
      </c>
      <c r="D13" s="2" t="s">
        <v>32</v>
      </c>
      <c r="E13" s="2" t="s">
        <v>33</v>
      </c>
      <c r="F13" s="2" t="s">
        <v>13</v>
      </c>
      <c r="G13" s="2" t="s">
        <v>68</v>
      </c>
      <c r="H13" s="3" t="s">
        <v>50</v>
      </c>
      <c r="I13" s="4">
        <v>4</v>
      </c>
      <c r="J13" s="4">
        <v>4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</row>
    <row r="14" spans="1:23" x14ac:dyDescent="0.3">
      <c r="A14" s="2" t="s">
        <v>19</v>
      </c>
      <c r="B14" s="2" t="s">
        <v>69</v>
      </c>
      <c r="C14" s="2" t="s">
        <v>70</v>
      </c>
      <c r="D14" s="2" t="s">
        <v>33</v>
      </c>
      <c r="E14" s="2" t="s">
        <v>35</v>
      </c>
      <c r="F14" s="2" t="s">
        <v>13</v>
      </c>
      <c r="G14" s="2" t="s">
        <v>59</v>
      </c>
      <c r="H14" s="3" t="s">
        <v>50</v>
      </c>
      <c r="I14" s="4">
        <v>6</v>
      </c>
      <c r="J14" s="4">
        <v>6</v>
      </c>
      <c r="K14" s="4">
        <v>6</v>
      </c>
      <c r="L14" s="4">
        <v>3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</row>
    <row r="15" spans="1:23" x14ac:dyDescent="0.3">
      <c r="A15" s="2" t="s">
        <v>19</v>
      </c>
      <c r="B15" s="2" t="s">
        <v>71</v>
      </c>
      <c r="C15" s="2" t="s">
        <v>72</v>
      </c>
      <c r="D15" s="2" t="s">
        <v>35</v>
      </c>
      <c r="E15" s="2" t="s">
        <v>38</v>
      </c>
      <c r="F15" s="2" t="s">
        <v>13</v>
      </c>
      <c r="G15" s="2" t="s">
        <v>49</v>
      </c>
      <c r="H15" s="3" t="s">
        <v>50</v>
      </c>
      <c r="I15" s="4">
        <v>6</v>
      </c>
      <c r="J15" s="4">
        <v>6</v>
      </c>
      <c r="K15" s="4">
        <v>6</v>
      </c>
      <c r="L15" s="4">
        <v>6</v>
      </c>
      <c r="M15" s="4">
        <v>6</v>
      </c>
      <c r="N15" s="4">
        <v>3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</row>
    <row r="16" spans="1:23" x14ac:dyDescent="0.3">
      <c r="A16" s="6" t="s">
        <v>73</v>
      </c>
      <c r="B16" s="7"/>
      <c r="C16" s="7"/>
      <c r="D16" s="7"/>
      <c r="E16" s="7"/>
      <c r="F16" s="7"/>
      <c r="G16" s="7"/>
      <c r="H16" s="7"/>
      <c r="I16" s="5">
        <f t="shared" ref="I16:W16" si="2">SUM(I13:I15)</f>
        <v>16</v>
      </c>
      <c r="J16" s="5">
        <f t="shared" si="2"/>
        <v>16</v>
      </c>
      <c r="K16" s="5">
        <f t="shared" si="2"/>
        <v>12</v>
      </c>
      <c r="L16" s="5">
        <f t="shared" si="2"/>
        <v>9</v>
      </c>
      <c r="M16" s="5">
        <f t="shared" si="2"/>
        <v>6</v>
      </c>
      <c r="N16" s="5">
        <f t="shared" si="2"/>
        <v>3</v>
      </c>
      <c r="O16" s="5">
        <f t="shared" si="2"/>
        <v>0</v>
      </c>
      <c r="P16" s="5">
        <f t="shared" si="2"/>
        <v>0</v>
      </c>
      <c r="Q16" s="5">
        <f t="shared" si="2"/>
        <v>0</v>
      </c>
      <c r="R16" s="5">
        <f t="shared" si="2"/>
        <v>0</v>
      </c>
      <c r="S16" s="5">
        <f t="shared" si="2"/>
        <v>0</v>
      </c>
      <c r="T16" s="5">
        <f t="shared" si="2"/>
        <v>0</v>
      </c>
      <c r="U16" s="5">
        <f t="shared" si="2"/>
        <v>0</v>
      </c>
      <c r="V16" s="5">
        <f t="shared" si="2"/>
        <v>0</v>
      </c>
      <c r="W16" s="5">
        <f t="shared" si="2"/>
        <v>0</v>
      </c>
    </row>
    <row r="17" spans="1:23" x14ac:dyDescent="0.3">
      <c r="A17" s="8" t="s">
        <v>74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x14ac:dyDescent="0.3">
      <c r="A18" s="2" t="s">
        <v>22</v>
      </c>
      <c r="B18" s="2" t="s">
        <v>75</v>
      </c>
      <c r="C18" s="2" t="s">
        <v>76</v>
      </c>
      <c r="D18" s="2" t="s">
        <v>32</v>
      </c>
      <c r="E18" s="2" t="s">
        <v>35</v>
      </c>
      <c r="F18" s="2" t="s">
        <v>13</v>
      </c>
      <c r="G18" s="2" t="s">
        <v>49</v>
      </c>
      <c r="H18" s="3" t="s">
        <v>50</v>
      </c>
      <c r="I18" s="4">
        <v>8</v>
      </c>
      <c r="J18" s="4">
        <v>8</v>
      </c>
      <c r="K18" s="4">
        <v>6</v>
      </c>
      <c r="L18" s="4">
        <v>3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</row>
    <row r="19" spans="1:23" x14ac:dyDescent="0.3">
      <c r="A19" s="2" t="s">
        <v>22</v>
      </c>
      <c r="B19" s="2" t="s">
        <v>77</v>
      </c>
      <c r="C19" s="2" t="s">
        <v>78</v>
      </c>
      <c r="D19" s="2" t="s">
        <v>35</v>
      </c>
      <c r="E19" s="2" t="s">
        <v>39</v>
      </c>
      <c r="F19" s="2" t="s">
        <v>13</v>
      </c>
      <c r="G19" s="2" t="s">
        <v>79</v>
      </c>
      <c r="H19" s="3" t="s">
        <v>50</v>
      </c>
      <c r="I19" s="4">
        <v>8</v>
      </c>
      <c r="J19" s="4">
        <v>8</v>
      </c>
      <c r="K19" s="4">
        <v>8</v>
      </c>
      <c r="L19" s="4">
        <v>8</v>
      </c>
      <c r="M19" s="4">
        <v>8</v>
      </c>
      <c r="N19" s="4">
        <v>6</v>
      </c>
      <c r="O19" s="4">
        <v>4</v>
      </c>
      <c r="P19" s="4">
        <v>2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</row>
    <row r="20" spans="1:23" x14ac:dyDescent="0.3">
      <c r="A20" s="2" t="s">
        <v>22</v>
      </c>
      <c r="B20" s="2" t="s">
        <v>80</v>
      </c>
      <c r="C20" s="2" t="s">
        <v>81</v>
      </c>
      <c r="D20" s="2" t="s">
        <v>39</v>
      </c>
      <c r="E20" s="2" t="s">
        <v>43</v>
      </c>
      <c r="F20" s="2" t="s">
        <v>13</v>
      </c>
      <c r="G20" s="2" t="s">
        <v>49</v>
      </c>
      <c r="H20" s="3" t="s">
        <v>50</v>
      </c>
      <c r="I20" s="4">
        <v>10</v>
      </c>
      <c r="J20" s="4">
        <v>10</v>
      </c>
      <c r="K20" s="4">
        <v>10</v>
      </c>
      <c r="L20" s="4">
        <v>10</v>
      </c>
      <c r="M20" s="4">
        <v>10</v>
      </c>
      <c r="N20" s="4">
        <v>10</v>
      </c>
      <c r="O20" s="4">
        <v>10</v>
      </c>
      <c r="P20" s="4">
        <v>10</v>
      </c>
      <c r="Q20" s="4">
        <v>10</v>
      </c>
      <c r="R20" s="4">
        <v>6</v>
      </c>
      <c r="S20" s="4">
        <v>3</v>
      </c>
      <c r="T20" s="4">
        <v>0</v>
      </c>
      <c r="U20" s="4">
        <v>0</v>
      </c>
      <c r="V20" s="4">
        <v>0</v>
      </c>
      <c r="W20" s="4">
        <v>0</v>
      </c>
    </row>
    <row r="21" spans="1:23" x14ac:dyDescent="0.3">
      <c r="A21" s="2" t="s">
        <v>22</v>
      </c>
      <c r="B21" s="2" t="s">
        <v>82</v>
      </c>
      <c r="C21" s="2" t="s">
        <v>83</v>
      </c>
      <c r="D21" s="2" t="s">
        <v>43</v>
      </c>
      <c r="E21" s="2" t="s">
        <v>45</v>
      </c>
      <c r="F21" s="2" t="s">
        <v>13</v>
      </c>
      <c r="G21" s="2" t="s">
        <v>84</v>
      </c>
      <c r="H21" s="3" t="s">
        <v>50</v>
      </c>
      <c r="I21" s="4">
        <v>4</v>
      </c>
      <c r="J21" s="4">
        <v>4</v>
      </c>
      <c r="K21" s="4">
        <v>4</v>
      </c>
      <c r="L21" s="4">
        <v>4</v>
      </c>
      <c r="M21" s="4">
        <v>4</v>
      </c>
      <c r="N21" s="4">
        <v>4</v>
      </c>
      <c r="O21" s="4">
        <v>4</v>
      </c>
      <c r="P21" s="4">
        <v>4</v>
      </c>
      <c r="Q21" s="4">
        <v>4</v>
      </c>
      <c r="R21" s="4">
        <v>4</v>
      </c>
      <c r="S21" s="4">
        <v>4</v>
      </c>
      <c r="T21" s="4">
        <v>4</v>
      </c>
      <c r="U21" s="4">
        <v>4</v>
      </c>
      <c r="V21" s="4">
        <v>2</v>
      </c>
      <c r="W21" s="4">
        <v>0</v>
      </c>
    </row>
    <row r="22" spans="1:23" x14ac:dyDescent="0.3">
      <c r="A22" s="6" t="s">
        <v>85</v>
      </c>
      <c r="B22" s="7"/>
      <c r="C22" s="7"/>
      <c r="D22" s="7"/>
      <c r="E22" s="7"/>
      <c r="F22" s="7"/>
      <c r="G22" s="7"/>
      <c r="H22" s="7"/>
      <c r="I22" s="5">
        <f t="shared" ref="I22:W22" si="3">SUM(I18:I21)</f>
        <v>30</v>
      </c>
      <c r="J22" s="5">
        <f t="shared" si="3"/>
        <v>30</v>
      </c>
      <c r="K22" s="5">
        <f t="shared" si="3"/>
        <v>28</v>
      </c>
      <c r="L22" s="5">
        <f t="shared" si="3"/>
        <v>25</v>
      </c>
      <c r="M22" s="5">
        <f t="shared" si="3"/>
        <v>22</v>
      </c>
      <c r="N22" s="5">
        <f t="shared" si="3"/>
        <v>20</v>
      </c>
      <c r="O22" s="5">
        <f t="shared" si="3"/>
        <v>18</v>
      </c>
      <c r="P22" s="5">
        <f t="shared" si="3"/>
        <v>16</v>
      </c>
      <c r="Q22" s="5">
        <f t="shared" si="3"/>
        <v>14</v>
      </c>
      <c r="R22" s="5">
        <f t="shared" si="3"/>
        <v>10</v>
      </c>
      <c r="S22" s="5">
        <f t="shared" si="3"/>
        <v>7</v>
      </c>
      <c r="T22" s="5">
        <f t="shared" si="3"/>
        <v>4</v>
      </c>
      <c r="U22" s="5">
        <f t="shared" si="3"/>
        <v>4</v>
      </c>
      <c r="V22" s="5">
        <f t="shared" si="3"/>
        <v>2</v>
      </c>
      <c r="W22" s="5">
        <f t="shared" si="3"/>
        <v>0</v>
      </c>
    </row>
  </sheetData>
  <mergeCells count="8">
    <mergeCell ref="A22:H22"/>
    <mergeCell ref="A16:H16"/>
    <mergeCell ref="A11:H11"/>
    <mergeCell ref="A12:W12"/>
    <mergeCell ref="A17:W17"/>
    <mergeCell ref="A7:W7"/>
    <mergeCell ref="A6:H6"/>
    <mergeCell ref="A2:W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4" x14ac:dyDescent="0.3"/>
  <cols>
    <col min="1" max="2" width="10" customWidth="1"/>
    <col min="3" max="4" width="50" customWidth="1"/>
  </cols>
  <sheetData>
    <row r="1" spans="1:4" x14ac:dyDescent="0.3">
      <c r="A1" s="1" t="s">
        <v>86</v>
      </c>
      <c r="B1" s="1" t="s">
        <v>87</v>
      </c>
      <c r="C1" s="1" t="s">
        <v>88</v>
      </c>
      <c r="D1" s="1" t="s">
        <v>89</v>
      </c>
    </row>
    <row r="2" spans="1:4" x14ac:dyDescent="0.3">
      <c r="A2" s="2" t="s">
        <v>8</v>
      </c>
      <c r="B2" s="2" t="s">
        <v>35</v>
      </c>
      <c r="C2" s="2" t="s">
        <v>90</v>
      </c>
      <c r="D2" s="2" t="s">
        <v>91</v>
      </c>
    </row>
    <row r="3" spans="1:4" ht="28.8" x14ac:dyDescent="0.3">
      <c r="A3" s="2" t="s">
        <v>15</v>
      </c>
      <c r="B3" s="2" t="s">
        <v>37</v>
      </c>
      <c r="C3" s="2" t="s">
        <v>92</v>
      </c>
      <c r="D3" s="2" t="s">
        <v>93</v>
      </c>
    </row>
    <row r="4" spans="1:4" ht="28.8" x14ac:dyDescent="0.3">
      <c r="A4" s="2" t="s">
        <v>18</v>
      </c>
      <c r="B4" s="2" t="s">
        <v>36</v>
      </c>
      <c r="C4" s="2" t="s">
        <v>94</v>
      </c>
      <c r="D4" s="2" t="s">
        <v>95</v>
      </c>
    </row>
    <row r="5" spans="1:4" x14ac:dyDescent="0.3">
      <c r="A5" s="2" t="s">
        <v>21</v>
      </c>
      <c r="B5" s="2" t="s">
        <v>42</v>
      </c>
      <c r="C5" s="2" t="s">
        <v>96</v>
      </c>
      <c r="D5" s="2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4.4" x14ac:dyDescent="0.3"/>
  <cols>
    <col min="1" max="1" width="8" customWidth="1"/>
    <col min="2" max="2" width="10" customWidth="1"/>
    <col min="3" max="4" width="12" customWidth="1"/>
    <col min="5" max="5" width="15" customWidth="1"/>
    <col min="6" max="6" width="35" customWidth="1"/>
    <col min="7" max="8" width="30" customWidth="1"/>
    <col min="9" max="9" width="35" customWidth="1"/>
  </cols>
  <sheetData>
    <row r="1" spans="1:9" x14ac:dyDescent="0.3">
      <c r="A1" s="1" t="s">
        <v>98</v>
      </c>
      <c r="B1" s="1" t="s">
        <v>99</v>
      </c>
      <c r="C1" s="1" t="s">
        <v>27</v>
      </c>
      <c r="D1" s="1" t="s">
        <v>28</v>
      </c>
      <c r="E1" s="1" t="s">
        <v>6</v>
      </c>
      <c r="F1" s="1" t="s">
        <v>100</v>
      </c>
      <c r="G1" s="1" t="s">
        <v>101</v>
      </c>
      <c r="H1" s="1" t="s">
        <v>102</v>
      </c>
      <c r="I1" s="1" t="s">
        <v>89</v>
      </c>
    </row>
    <row r="2" spans="1:9" x14ac:dyDescent="0.3">
      <c r="A2" s="2">
        <v>1</v>
      </c>
      <c r="B2" s="2" t="s">
        <v>8</v>
      </c>
      <c r="C2" s="2" t="s">
        <v>103</v>
      </c>
      <c r="D2" s="2" t="s">
        <v>104</v>
      </c>
      <c r="E2" s="2" t="s">
        <v>13</v>
      </c>
      <c r="F2" s="2" t="s">
        <v>105</v>
      </c>
      <c r="G2" s="2" t="s">
        <v>106</v>
      </c>
      <c r="H2" s="2" t="s">
        <v>107</v>
      </c>
      <c r="I2" s="2" t="s">
        <v>108</v>
      </c>
    </row>
    <row r="3" spans="1:9" ht="28.8" x14ac:dyDescent="0.3">
      <c r="A3" s="2">
        <v>2</v>
      </c>
      <c r="B3" s="2" t="s">
        <v>15</v>
      </c>
      <c r="C3" s="2" t="s">
        <v>109</v>
      </c>
      <c r="D3" s="2" t="s">
        <v>110</v>
      </c>
      <c r="E3" s="2" t="s">
        <v>13</v>
      </c>
      <c r="F3" s="2" t="s">
        <v>111</v>
      </c>
      <c r="G3" s="2" t="s">
        <v>112</v>
      </c>
      <c r="H3" s="2" t="s">
        <v>113</v>
      </c>
      <c r="I3" s="2" t="s">
        <v>114</v>
      </c>
    </row>
    <row r="4" spans="1:9" x14ac:dyDescent="0.3">
      <c r="A4" s="2">
        <v>3</v>
      </c>
      <c r="B4" s="2" t="s">
        <v>18</v>
      </c>
      <c r="C4" s="2" t="s">
        <v>115</v>
      </c>
      <c r="D4" s="2" t="s">
        <v>116</v>
      </c>
      <c r="E4" s="2" t="s">
        <v>13</v>
      </c>
      <c r="F4" s="2" t="s">
        <v>117</v>
      </c>
      <c r="G4" s="2" t="s">
        <v>118</v>
      </c>
      <c r="H4" s="2" t="s">
        <v>119</v>
      </c>
      <c r="I4" s="2" t="s">
        <v>120</v>
      </c>
    </row>
    <row r="5" spans="1:9" x14ac:dyDescent="0.3">
      <c r="A5" s="2">
        <v>4</v>
      </c>
      <c r="B5" s="2" t="s">
        <v>21</v>
      </c>
      <c r="C5" s="2" t="s">
        <v>121</v>
      </c>
      <c r="D5" s="2" t="s">
        <v>122</v>
      </c>
      <c r="E5" s="2" t="s">
        <v>13</v>
      </c>
      <c r="F5" s="2" t="s">
        <v>123</v>
      </c>
      <c r="G5" s="2" t="s">
        <v>124</v>
      </c>
      <c r="H5" s="2" t="s">
        <v>125</v>
      </c>
      <c r="I5" s="2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SABARI</cp:lastModifiedBy>
  <dcterms:created xsi:type="dcterms:W3CDTF">2026-02-24T15:26:21Z</dcterms:created>
  <dcterms:modified xsi:type="dcterms:W3CDTF">2026-02-24T15:27:45Z</dcterms:modified>
</cp:coreProperties>
</file>